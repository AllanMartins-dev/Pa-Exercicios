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5\Downloads\"/>
    </mc:Choice>
  </mc:AlternateContent>
  <xr:revisionPtr revIDLastSave="0" documentId="13_ncr:1_{EA793FD8-24FF-494F-92D5-542F33B963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 - Planta" sheetId="1" r:id="rId1"/>
    <sheet name="2 - Guia" sheetId="2" r:id="rId2"/>
    <sheet name="3 - Orçamento" sheetId="3" r:id="rId3"/>
  </sheets>
  <definedNames>
    <definedName name="AREACOZINHA">'1 - Planta'!$F$16</definedName>
    <definedName name="AREAQUARTO">'1 - Planta'!$S$7</definedName>
    <definedName name="AREASALAESTAR">'1 - Planta'!$P$16</definedName>
    <definedName name="AREASUITEMASTER">'1 - Planta'!$F$6</definedName>
    <definedName name="AREAWC">'1 - Planta'!$L$6</definedName>
    <definedName name="PERIMCOSINHA">'1 - Planta'!$F$17</definedName>
    <definedName name="PERIMETROSALA">'1 - Planta'!$P$17</definedName>
    <definedName name="PERIMQUARTO">'1 - Planta'!$S$8</definedName>
    <definedName name="PERIMWC">'1 - Planta'!$L$7</definedName>
    <definedName name="PSUITEMASTER">'1 - Planta'!$F$7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" i="1" l="1"/>
  <c r="Q9" i="1"/>
  <c r="U4" i="1"/>
  <c r="K18" i="1"/>
  <c r="U11" i="1"/>
  <c r="L7" i="1"/>
  <c r="L6" i="1"/>
  <c r="M6" i="1"/>
  <c r="K8" i="1"/>
  <c r="C18" i="1"/>
  <c r="I4" i="1"/>
  <c r="F7" i="1" s="1"/>
  <c r="C9" i="1"/>
  <c r="O6" i="1"/>
  <c r="P17" i="1" l="1"/>
  <c r="I11" i="1"/>
  <c r="F17" i="1" s="1"/>
  <c r="F6" i="1"/>
  <c r="AD14" i="1"/>
  <c r="F16" i="1" l="1"/>
  <c r="P16" i="1"/>
  <c r="O7" i="1"/>
</calcChain>
</file>

<file path=xl/sharedStrings.xml><?xml version="1.0" encoding="utf-8"?>
<sst xmlns="http://schemas.openxmlformats.org/spreadsheetml/2006/main" count="151" uniqueCount="77">
  <si>
    <t>SUÍTE MASTER</t>
  </si>
  <si>
    <t>Área:</t>
  </si>
  <si>
    <t>WC Suíte</t>
  </si>
  <si>
    <t>WC Soc.</t>
  </si>
  <si>
    <t>QUARTO 2</t>
  </si>
  <si>
    <t>COZINHA</t>
  </si>
  <si>
    <t>SALA DE ESTAR</t>
  </si>
  <si>
    <t>P</t>
  </si>
  <si>
    <t>J</t>
  </si>
  <si>
    <t>LEGENDA:</t>
  </si>
  <si>
    <t>P = Porta</t>
  </si>
  <si>
    <t>J = Janela</t>
  </si>
  <si>
    <t>Pé-direito: 2,80m</t>
  </si>
  <si>
    <t>Escala: 1 célula = 0,5m</t>
  </si>
  <si>
    <t>Aplicação</t>
  </si>
  <si>
    <t>Piso Porcelanato 50x50</t>
  </si>
  <si>
    <t>DICA DO PROFESSOR ALESSANDRO:</t>
  </si>
  <si>
    <t>Item / Material</t>
  </si>
  <si>
    <t>Regra de Rendimento / Observação do Fornecedor</t>
  </si>
  <si>
    <t>Preço Unitário</t>
  </si>
  <si>
    <t>Qtd a Comprar (Fórmula)</t>
  </si>
  <si>
    <t>Custo Total</t>
  </si>
  <si>
    <t>Salas, Corredor e Quartos</t>
  </si>
  <si>
    <t>1 Caixa cobre 2,5 m². Adicionar 10% de margem para cortes. Apenas venda de caixa fechada.</t>
  </si>
  <si>
    <t>Piso Cerâmico</t>
  </si>
  <si>
    <t>Cozinha e Banheiros</t>
  </si>
  <si>
    <t>1 Caixa cobre 2,0 m². Adicionar 15% de margem para quebras. Apenas venda de caixa fechada.</t>
  </si>
  <si>
    <t>Tinta Acrílica Premium</t>
  </si>
  <si>
    <t>Paredes (Geral)</t>
  </si>
  <si>
    <t>1 Lata (18L) pinta 100 m² (já contabilizando as 2 demãos necessárias). Apenas venda de lata inteira.</t>
  </si>
  <si>
    <t>Tinta Antimofo</t>
  </si>
  <si>
    <t>Tetos (Banheiros)</t>
  </si>
  <si>
    <t>1 Galão (3,6L) pinta 20 m². Apenas venda de galão inteiro.</t>
  </si>
  <si>
    <t>Argamassa (Cimento Cola)</t>
  </si>
  <si>
    <t>Todos os Pisos</t>
  </si>
  <si>
    <t>1 Saco (20kg) é suficiente para assentar 4 m² de piso.</t>
  </si>
  <si>
    <t>Rejunte</t>
  </si>
  <si>
    <t>1 Pacote (1kg) rende 3 m² de piso finalizado.</t>
  </si>
  <si>
    <t>Rodapé em PVC/Madeira</t>
  </si>
  <si>
    <t>Salas e Quartos</t>
  </si>
  <si>
    <t>Vendido em barras de 2,5 metros lineares. Adicionar 10% para os cantos e cortes.</t>
  </si>
  <si>
    <t>Lembrem-se da aula: Use a função =ARRED.PARA.CIMA() na coluna E para garantir que o Excel compre caixas e latas inteiras!</t>
  </si>
  <si>
    <t>ORÇAMENTO DETALHADO POR CÔMODO</t>
  </si>
  <si>
    <t>Item</t>
  </si>
  <si>
    <t>Ambiente</t>
  </si>
  <si>
    <t>Descrição do Material</t>
  </si>
  <si>
    <t>Unid.</t>
  </si>
  <si>
    <t>Quantidade</t>
  </si>
  <si>
    <t>Valor Unitário</t>
  </si>
  <si>
    <t>Subtotal</t>
  </si>
  <si>
    <t>1. SUÍTE MASTER</t>
  </si>
  <si>
    <t>cx</t>
  </si>
  <si>
    <t>Rodapé em Madeira</t>
  </si>
  <si>
    <t>br</t>
  </si>
  <si>
    <t>WC SUÍTE E WC SOCIAL</t>
  </si>
  <si>
    <t>lt</t>
  </si>
  <si>
    <t>QUARTO 2 E QUARTO 3</t>
  </si>
  <si>
    <t>sc</t>
  </si>
  <si>
    <t>SALA DE ESTAR / JANTAR</t>
  </si>
  <si>
    <t>CUSTO TOTAL - SUÍTE MASTER:</t>
  </si>
  <si>
    <t>2. WC SUÍTE E WC SOCIAL</t>
  </si>
  <si>
    <t>Revestimento de Parede</t>
  </si>
  <si>
    <t>Tinta Antimofo (Teto)</t>
  </si>
  <si>
    <t>gl</t>
  </si>
  <si>
    <t>CUSTO TOTAL - WC SUÍTE E WC SOCIAL:</t>
  </si>
  <si>
    <t>CUSTO TOTAL - QUARTO 2 E QUARTO 3:</t>
  </si>
  <si>
    <t>4. SALA DE ESTAR / JANTAR</t>
  </si>
  <si>
    <t>CUSTO TOTAL - SALA DE ESTAR / JANTAR:</t>
  </si>
  <si>
    <t>5. COZINHA</t>
  </si>
  <si>
    <t>CUSTO TOTAL - COZINHA:</t>
  </si>
  <si>
    <t>CUSTO TOTAL DOS AMBIENTES:</t>
  </si>
  <si>
    <t>3. QUARTO 2</t>
  </si>
  <si>
    <t>6. SUBTOTAL POR ITEM</t>
  </si>
  <si>
    <t>ITENS</t>
  </si>
  <si>
    <t>QUARTO 2 E QUARTO 4</t>
  </si>
  <si>
    <t xml:space="preserve">TOTAL: </t>
  </si>
  <si>
    <t>OBS: A DIFERENÇA ESTÁ NAS LATAS PORQUE FOI ARREDONDADA PARA CIMA NO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</si>
</sst>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R\$\ #,##0.00"/>
    <numFmt numFmtId="165" formatCode="&quot;&lt;-   &quot;\ \ 0.00\ &quot;m   -&gt;&quot;"/>
    <numFmt numFmtId="166" formatCode="0&quot;m²&quot;"/>
    <numFmt numFmtId="167" formatCode="0.0&quot;m²&quot;"/>
    <numFmt numFmtId="168" formatCode="0&quot;m&quot;"/>
    <numFmt numFmtId="169" formatCode="0.00&quot;m²&quot;"/>
  </numFmts>
  <fonts count="19" x14ac:knownFonts="1">
    <font>
      <sz val="11"/>
      <color theme="1"/>
      <name val="Calibri"/>
      <family val="2"/>
      <scheme val="minor"/>
    </font>
    <font>
      <b/>
      <sz val="11"/>
      <color rgb="FF2980B9"/>
      <name val="Calibri"/>
      <family val="2"/>
      <scheme val="minor"/>
    </font>
    <font>
      <b/>
      <sz val="11"/>
      <color rgb="FF2C3E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F8C8D"/>
      <name val="Calibri"/>
      <family val="2"/>
      <scheme val="minor"/>
    </font>
    <font>
      <b/>
      <sz val="11"/>
      <color rgb="FFE74C3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0392B"/>
      <name val="Calibri"/>
      <family val="2"/>
      <scheme val="minor"/>
    </font>
    <font>
      <b/>
      <sz val="12"/>
      <color rgb="FF2980B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color theme="0" tint="-0.34998626667073579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8F9F9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EE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5DBDB"/>
        <bgColor indexed="64"/>
      </patternFill>
    </fill>
    <fill>
      <patternFill patternType="solid">
        <fgColor rgb="FFEAED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double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double">
        <color auto="1"/>
      </bottom>
      <diagonal/>
    </border>
    <border>
      <left style="dashed">
        <color auto="1"/>
      </left>
      <right style="double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ouble">
        <color auto="1"/>
      </right>
      <top/>
      <bottom style="dashed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/>
      <diagonal/>
    </border>
    <border>
      <left style="dotted">
        <color auto="1"/>
      </left>
      <right style="double">
        <color auto="1"/>
      </right>
      <top style="double">
        <color auto="1"/>
      </top>
      <bottom/>
      <diagonal/>
    </border>
    <border>
      <left style="dotted">
        <color auto="1"/>
      </left>
      <right style="double">
        <color auto="1"/>
      </right>
      <top/>
      <bottom style="hair">
        <color auto="1"/>
      </bottom>
      <diagonal/>
    </border>
    <border>
      <left/>
      <right style="dotted">
        <color auto="1"/>
      </right>
      <top style="double">
        <color auto="1"/>
      </top>
      <bottom/>
      <diagonal/>
    </border>
    <border>
      <left/>
      <right style="dotted">
        <color auto="1"/>
      </right>
      <top/>
      <bottom style="hair">
        <color auto="1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ashed">
        <color auto="1"/>
      </right>
      <top/>
      <bottom style="dotted">
        <color auto="1"/>
      </bottom>
      <diagonal/>
    </border>
    <border>
      <left style="dashed">
        <color auto="1"/>
      </left>
      <right style="double">
        <color auto="1"/>
      </right>
      <top/>
      <bottom style="dotted">
        <color auto="1"/>
      </bottom>
      <diagonal/>
    </border>
    <border>
      <left style="dotted">
        <color auto="1"/>
      </left>
      <right style="double">
        <color auto="1"/>
      </right>
      <top/>
      <bottom style="dotted">
        <color auto="1"/>
      </bottom>
      <diagonal/>
    </border>
    <border>
      <left style="dotted">
        <color auto="1"/>
      </left>
      <right style="double">
        <color auto="1"/>
      </right>
      <top/>
      <bottom style="double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ashed">
        <color auto="1"/>
      </left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3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2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right"/>
    </xf>
    <xf numFmtId="0" fontId="0" fillId="2" borderId="7" xfId="0" applyFill="1" applyBorder="1"/>
    <xf numFmtId="0" fontId="5" fillId="2" borderId="0" xfId="0" applyFont="1" applyFill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6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64" fontId="0" fillId="0" borderId="3" xfId="0" applyNumberFormat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8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/>
    </xf>
    <xf numFmtId="164" fontId="0" fillId="0" borderId="3" xfId="0" applyNumberFormat="1" applyBorder="1"/>
    <xf numFmtId="0" fontId="5" fillId="2" borderId="0" xfId="0" applyFont="1" applyFill="1" applyAlignment="1">
      <alignment vertical="center"/>
    </xf>
    <xf numFmtId="166" fontId="3" fillId="0" borderId="12" xfId="0" applyNumberFormat="1" applyFont="1" applyBorder="1"/>
    <xf numFmtId="167" fontId="3" fillId="4" borderId="0" xfId="0" applyNumberFormat="1" applyFont="1" applyFill="1" applyAlignment="1">
      <alignment vertical="center"/>
    </xf>
    <xf numFmtId="167" fontId="3" fillId="4" borderId="1" xfId="0" applyNumberFormat="1" applyFont="1" applyFill="1" applyBorder="1" applyAlignment="1">
      <alignment vertical="center"/>
    </xf>
    <xf numFmtId="0" fontId="0" fillId="2" borderId="22" xfId="0" applyFill="1" applyBorder="1"/>
    <xf numFmtId="0" fontId="0" fillId="2" borderId="23" xfId="0" applyFill="1" applyBorder="1"/>
    <xf numFmtId="0" fontId="0" fillId="2" borderId="17" xfId="0" applyFill="1" applyBorder="1"/>
    <xf numFmtId="0" fontId="0" fillId="2" borderId="30" xfId="0" applyFill="1" applyBorder="1"/>
    <xf numFmtId="165" fontId="4" fillId="2" borderId="34" xfId="0" applyNumberFormat="1" applyFont="1" applyFill="1" applyBorder="1"/>
    <xf numFmtId="0" fontId="0" fillId="2" borderId="25" xfId="0" applyFill="1" applyBorder="1"/>
    <xf numFmtId="0" fontId="0" fillId="2" borderId="18" xfId="0" applyFill="1" applyBorder="1"/>
    <xf numFmtId="165" fontId="4" fillId="2" borderId="35" xfId="0" applyNumberFormat="1" applyFont="1" applyFill="1" applyBorder="1"/>
    <xf numFmtId="0" fontId="0" fillId="2" borderId="36" xfId="0" applyFill="1" applyBorder="1"/>
    <xf numFmtId="0" fontId="0" fillId="2" borderId="38" xfId="0" applyFill="1" applyBorder="1"/>
    <xf numFmtId="0" fontId="5" fillId="2" borderId="29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horizontal="center"/>
    </xf>
    <xf numFmtId="0" fontId="0" fillId="4" borderId="48" xfId="0" applyFill="1" applyBorder="1" applyAlignment="1">
      <alignment horizontal="center"/>
    </xf>
    <xf numFmtId="164" fontId="0" fillId="0" borderId="48" xfId="0" applyNumberFormat="1" applyBorder="1"/>
    <xf numFmtId="164" fontId="0" fillId="0" borderId="49" xfId="0" applyNumberFormat="1" applyBorder="1"/>
    <xf numFmtId="164" fontId="0" fillId="0" borderId="50" xfId="0" applyNumberFormat="1" applyBorder="1"/>
    <xf numFmtId="0" fontId="0" fillId="0" borderId="51" xfId="0" applyBorder="1" applyAlignment="1">
      <alignment vertical="center"/>
    </xf>
    <xf numFmtId="0" fontId="0" fillId="0" borderId="52" xfId="0" applyBorder="1" applyAlignment="1">
      <alignment horizontal="center"/>
    </xf>
    <xf numFmtId="0" fontId="0" fillId="4" borderId="52" xfId="0" applyFill="1" applyBorder="1" applyAlignment="1">
      <alignment horizontal="center"/>
    </xf>
    <xf numFmtId="164" fontId="0" fillId="0" borderId="52" xfId="0" applyNumberFormat="1" applyBorder="1"/>
    <xf numFmtId="164" fontId="0" fillId="0" borderId="53" xfId="0" applyNumberFormat="1" applyBorder="1"/>
    <xf numFmtId="0" fontId="15" fillId="0" borderId="0" xfId="0" applyFont="1" applyAlignment="1">
      <alignment horizontal="center" vertical="center" textRotation="90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/>
    <xf numFmtId="4" fontId="0" fillId="0" borderId="0" xfId="0" applyNumberFormat="1"/>
    <xf numFmtId="0" fontId="15" fillId="11" borderId="54" xfId="0" applyFont="1" applyFill="1" applyBorder="1" applyAlignment="1">
      <alignment horizontal="center" vertical="center" textRotation="90"/>
    </xf>
    <xf numFmtId="0" fontId="15" fillId="11" borderId="55" xfId="0" applyFont="1" applyFill="1" applyBorder="1" applyAlignment="1">
      <alignment horizontal="center" vertical="center" textRotation="90"/>
    </xf>
    <xf numFmtId="0" fontId="0" fillId="11" borderId="55" xfId="0" applyFill="1" applyBorder="1" applyAlignment="1">
      <alignment vertical="center"/>
    </xf>
    <xf numFmtId="0" fontId="0" fillId="11" borderId="55" xfId="0" applyFill="1" applyBorder="1" applyAlignment="1">
      <alignment horizontal="center"/>
    </xf>
    <xf numFmtId="164" fontId="11" fillId="11" borderId="39" xfId="0" applyNumberFormat="1" applyFont="1" applyFill="1" applyBorder="1"/>
    <xf numFmtId="164" fontId="6" fillId="6" borderId="39" xfId="0" applyNumberFormat="1" applyFont="1" applyFill="1" applyBorder="1"/>
    <xf numFmtId="0" fontId="0" fillId="0" borderId="60" xfId="0" applyBorder="1" applyAlignment="1">
      <alignment horizontal="center"/>
    </xf>
    <xf numFmtId="164" fontId="3" fillId="9" borderId="53" xfId="0" applyNumberFormat="1" applyFont="1" applyFill="1" applyBorder="1"/>
    <xf numFmtId="0" fontId="6" fillId="7" borderId="40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17" fillId="0" borderId="0" xfId="0" applyFont="1"/>
    <xf numFmtId="11" fontId="0" fillId="0" borderId="0" xfId="0" applyNumberFormat="1"/>
    <xf numFmtId="169" fontId="18" fillId="4" borderId="10" xfId="0" applyNumberFormat="1" applyFont="1" applyFill="1" applyBorder="1"/>
    <xf numFmtId="169" fontId="18" fillId="4" borderId="3" xfId="0" applyNumberFormat="1" applyFont="1" applyFill="1" applyBorder="1"/>
    <xf numFmtId="168" fontId="3" fillId="4" borderId="3" xfId="0" applyNumberFormat="1" applyFont="1" applyFill="1" applyBorder="1"/>
    <xf numFmtId="165" fontId="4" fillId="2" borderId="27" xfId="0" applyNumberFormat="1" applyFont="1" applyFill="1" applyBorder="1" applyAlignment="1">
      <alignment horizontal="left" vertical="center" textRotation="90"/>
    </xf>
    <xf numFmtId="165" fontId="4" fillId="2" borderId="13" xfId="0" applyNumberFormat="1" applyFont="1" applyFill="1" applyBorder="1" applyAlignment="1">
      <alignment horizontal="left" vertical="center" textRotation="90"/>
    </xf>
    <xf numFmtId="165" fontId="4" fillId="2" borderId="28" xfId="0" applyNumberFormat="1" applyFont="1" applyFill="1" applyBorder="1" applyAlignment="1">
      <alignment horizontal="left" vertical="center" textRotation="90"/>
    </xf>
    <xf numFmtId="165" fontId="4" fillId="2" borderId="5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14" xfId="0" applyNumberFormat="1" applyFont="1" applyFill="1" applyBorder="1" applyAlignment="1">
      <alignment horizontal="center" vertical="center"/>
    </xf>
    <xf numFmtId="166" fontId="3" fillId="4" borderId="10" xfId="0" applyNumberFormat="1" applyFont="1" applyFill="1" applyBorder="1" applyAlignment="1">
      <alignment horizontal="center"/>
    </xf>
    <xf numFmtId="166" fontId="3" fillId="4" borderId="11" xfId="0" applyNumberFormat="1" applyFont="1" applyFill="1" applyBorder="1" applyAlignment="1">
      <alignment horizontal="center"/>
    </xf>
    <xf numFmtId="165" fontId="4" fillId="2" borderId="20" xfId="0" applyNumberFormat="1" applyFont="1" applyFill="1" applyBorder="1" applyAlignment="1">
      <alignment horizontal="center"/>
    </xf>
    <xf numFmtId="168" fontId="3" fillId="4" borderId="10" xfId="0" applyNumberFormat="1" applyFont="1" applyFill="1" applyBorder="1" applyAlignment="1">
      <alignment horizontal="center"/>
    </xf>
    <xf numFmtId="168" fontId="3" fillId="4" borderId="11" xfId="0" applyNumberFormat="1" applyFont="1" applyFill="1" applyBorder="1" applyAlignment="1">
      <alignment horizontal="center"/>
    </xf>
    <xf numFmtId="165" fontId="4" fillId="2" borderId="31" xfId="0" applyNumberFormat="1" applyFont="1" applyFill="1" applyBorder="1" applyAlignment="1">
      <alignment horizontal="center"/>
    </xf>
    <xf numFmtId="165" fontId="4" fillId="2" borderId="32" xfId="0" applyNumberFormat="1" applyFont="1" applyFill="1" applyBorder="1" applyAlignment="1">
      <alignment horizontal="center"/>
    </xf>
    <xf numFmtId="165" fontId="4" fillId="2" borderId="37" xfId="0" applyNumberFormat="1" applyFont="1" applyFill="1" applyBorder="1" applyAlignment="1">
      <alignment horizontal="center"/>
    </xf>
    <xf numFmtId="165" fontId="4" fillId="2" borderId="33" xfId="0" applyNumberFormat="1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left" textRotation="90"/>
    </xf>
    <xf numFmtId="165" fontId="4" fillId="2" borderId="0" xfId="0" applyNumberFormat="1" applyFont="1" applyFill="1" applyAlignment="1">
      <alignment horizontal="left" textRotation="90"/>
    </xf>
    <xf numFmtId="165" fontId="12" fillId="2" borderId="2" xfId="0" applyNumberFormat="1" applyFont="1" applyFill="1" applyBorder="1" applyAlignment="1">
      <alignment horizontal="center" textRotation="90"/>
    </xf>
    <xf numFmtId="165" fontId="12" fillId="2" borderId="0" xfId="0" applyNumberFormat="1" applyFont="1" applyFill="1" applyAlignment="1">
      <alignment horizontal="center" textRotation="90"/>
    </xf>
    <xf numFmtId="168" fontId="14" fillId="2" borderId="25" xfId="0" applyNumberFormat="1" applyFont="1" applyFill="1" applyBorder="1" applyAlignment="1">
      <alignment horizontal="center" vertical="center"/>
    </xf>
    <xf numFmtId="168" fontId="14" fillId="2" borderId="18" xfId="0" applyNumberFormat="1" applyFont="1" applyFill="1" applyBorder="1" applyAlignment="1">
      <alignment horizontal="center" vertical="center"/>
    </xf>
    <xf numFmtId="168" fontId="14" fillId="2" borderId="26" xfId="0" applyNumberFormat="1" applyFont="1" applyFill="1" applyBorder="1" applyAlignment="1">
      <alignment horizontal="center" vertical="center"/>
    </xf>
    <xf numFmtId="167" fontId="3" fillId="4" borderId="15" xfId="0" applyNumberFormat="1" applyFont="1" applyFill="1" applyBorder="1" applyAlignment="1">
      <alignment horizontal="center" vertical="center"/>
    </xf>
    <xf numFmtId="167" fontId="3" fillId="4" borderId="0" xfId="0" applyNumberFormat="1" applyFont="1" applyFill="1" applyAlignment="1">
      <alignment horizontal="center" vertical="center"/>
    </xf>
    <xf numFmtId="167" fontId="3" fillId="4" borderId="16" xfId="0" applyNumberFormat="1" applyFont="1" applyFill="1" applyBorder="1" applyAlignment="1">
      <alignment horizontal="center" vertical="center"/>
    </xf>
    <xf numFmtId="167" fontId="3" fillId="4" borderId="7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5" fillId="0" borderId="41" xfId="0" applyFont="1" applyBorder="1" applyAlignment="1">
      <alignment horizontal="center" vertical="center" textRotation="90"/>
    </xf>
    <xf numFmtId="0" fontId="15" fillId="0" borderId="42" xfId="0" applyFont="1" applyBorder="1" applyAlignment="1">
      <alignment horizontal="center" vertical="center" textRotation="90"/>
    </xf>
    <xf numFmtId="0" fontId="15" fillId="0" borderId="43" xfId="0" applyFont="1" applyBorder="1" applyAlignment="1">
      <alignment horizontal="center" vertical="center" textRotation="90"/>
    </xf>
    <xf numFmtId="0" fontId="15" fillId="0" borderId="44" xfId="0" applyFont="1" applyBorder="1" applyAlignment="1">
      <alignment horizontal="center" vertical="center" textRotation="90"/>
    </xf>
    <xf numFmtId="0" fontId="15" fillId="0" borderId="45" xfId="0" applyFont="1" applyBorder="1" applyAlignment="1">
      <alignment horizontal="center" vertical="center" textRotation="90"/>
    </xf>
    <xf numFmtId="0" fontId="15" fillId="0" borderId="46" xfId="0" applyFont="1" applyBorder="1" applyAlignment="1">
      <alignment horizontal="center" vertical="center" textRotation="90"/>
    </xf>
    <xf numFmtId="0" fontId="3" fillId="10" borderId="0" xfId="0" applyFont="1" applyFill="1" applyAlignment="1">
      <alignment horizontal="center"/>
    </xf>
    <xf numFmtId="0" fontId="10" fillId="8" borderId="54" xfId="0" applyFont="1" applyFill="1" applyBorder="1"/>
    <xf numFmtId="0" fontId="10" fillId="8" borderId="55" xfId="0" applyFont="1" applyFill="1" applyBorder="1"/>
    <xf numFmtId="0" fontId="10" fillId="8" borderId="56" xfId="0" applyFont="1" applyFill="1" applyBorder="1"/>
    <xf numFmtId="0" fontId="0" fillId="11" borderId="55" xfId="0" applyFill="1" applyBorder="1" applyAlignment="1">
      <alignment horizontal="right"/>
    </xf>
    <xf numFmtId="0" fontId="9" fillId="5" borderId="0" xfId="0" applyFont="1" applyFill="1" applyAlignment="1">
      <alignment horizontal="center" vertical="center"/>
    </xf>
    <xf numFmtId="0" fontId="10" fillId="8" borderId="62" xfId="0" applyFont="1" applyFill="1" applyBorder="1"/>
    <xf numFmtId="0" fontId="10" fillId="8" borderId="48" xfId="0" applyFont="1" applyFill="1" applyBorder="1"/>
    <xf numFmtId="0" fontId="10" fillId="8" borderId="49" xfId="0" applyFont="1" applyFill="1" applyBorder="1"/>
    <xf numFmtId="0" fontId="3" fillId="9" borderId="61" xfId="0" applyFont="1" applyFill="1" applyBorder="1" applyAlignment="1">
      <alignment horizontal="right"/>
    </xf>
    <xf numFmtId="0" fontId="3" fillId="9" borderId="52" xfId="0" applyFont="1" applyFill="1" applyBorder="1" applyAlignment="1">
      <alignment horizontal="right"/>
    </xf>
    <xf numFmtId="0" fontId="10" fillId="8" borderId="57" xfId="0" applyFont="1" applyFill="1" applyBorder="1"/>
    <xf numFmtId="0" fontId="10" fillId="8" borderId="58" xfId="0" applyFont="1" applyFill="1" applyBorder="1"/>
    <xf numFmtId="0" fontId="10" fillId="8" borderId="59" xfId="0" applyFont="1" applyFill="1" applyBorder="1"/>
    <xf numFmtId="165" fontId="4" fillId="2" borderId="19" xfId="0" applyNumberFormat="1" applyFont="1" applyFill="1" applyBorder="1" applyAlignment="1">
      <alignment horizontal="center"/>
    </xf>
    <xf numFmtId="165" fontId="4" fillId="2" borderId="2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166" fontId="3" fillId="4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D31"/>
  <sheetViews>
    <sheetView showGridLines="0" tabSelected="1" zoomScale="145" zoomScaleNormal="145" workbookViewId="0">
      <selection activeCell="S8" sqref="S8:T8"/>
    </sheetView>
  </sheetViews>
  <sheetFormatPr defaultRowHeight="15" x14ac:dyDescent="0.25"/>
  <cols>
    <col min="1" max="11" width="3.7109375" customWidth="1"/>
    <col min="12" max="12" width="9.140625" bestFit="1" customWidth="1"/>
    <col min="13" max="13" width="4.42578125" bestFit="1" customWidth="1"/>
    <col min="14" max="14" width="3.7109375" customWidth="1"/>
    <col min="15" max="15" width="4.7109375" customWidth="1"/>
    <col min="16" max="26" width="3.7109375" customWidth="1"/>
  </cols>
  <sheetData>
    <row r="3" spans="3:30" ht="7.5" customHeight="1" thickBot="1" x14ac:dyDescent="0.3"/>
    <row r="4" spans="3:30" ht="18" customHeight="1" thickTop="1" x14ac:dyDescent="0.25">
      <c r="C4" s="1"/>
      <c r="D4" s="2"/>
      <c r="E4" s="2"/>
      <c r="F4" s="3" t="s">
        <v>8</v>
      </c>
      <c r="G4" s="2"/>
      <c r="H4" s="2"/>
      <c r="I4" s="73">
        <f>COUNTBLANK(V4:V10)/2</f>
        <v>3.5</v>
      </c>
      <c r="J4" s="93"/>
      <c r="K4" s="2"/>
      <c r="L4" s="3" t="s">
        <v>8</v>
      </c>
      <c r="M4" s="4"/>
      <c r="N4" s="2"/>
      <c r="O4" s="3" t="s">
        <v>8</v>
      </c>
      <c r="P4" s="4"/>
      <c r="Q4" s="2"/>
      <c r="R4" s="2"/>
      <c r="S4" s="2"/>
      <c r="T4" s="3" t="s">
        <v>8</v>
      </c>
      <c r="U4" s="91">
        <f>COUNTBLANK(Q4:Q8)</f>
        <v>5</v>
      </c>
      <c r="V4" s="35"/>
    </row>
    <row r="5" spans="3:30" ht="18" customHeight="1" x14ac:dyDescent="0.25">
      <c r="C5" s="5"/>
      <c r="D5" s="6"/>
      <c r="E5" s="6"/>
      <c r="F5" s="8" t="s">
        <v>0</v>
      </c>
      <c r="G5" s="6"/>
      <c r="H5" s="6"/>
      <c r="I5" s="74"/>
      <c r="J5" s="94"/>
      <c r="K5" s="6"/>
      <c r="L5" s="8" t="s">
        <v>2</v>
      </c>
      <c r="M5" s="7"/>
      <c r="N5" s="6"/>
      <c r="O5" s="8" t="s">
        <v>3</v>
      </c>
      <c r="P5" s="7"/>
      <c r="Q5" s="6"/>
      <c r="R5" s="6"/>
      <c r="S5" s="6"/>
      <c r="T5" s="6"/>
      <c r="U5" s="92"/>
      <c r="V5" s="36"/>
      <c r="X5" s="9" t="s">
        <v>9</v>
      </c>
    </row>
    <row r="6" spans="3:30" ht="18" customHeight="1" x14ac:dyDescent="0.25">
      <c r="C6" s="5"/>
      <c r="D6" s="6"/>
      <c r="E6" s="11" t="s">
        <v>1</v>
      </c>
      <c r="F6" s="80">
        <f>I4*C9</f>
        <v>14</v>
      </c>
      <c r="G6" s="81"/>
      <c r="H6" s="6"/>
      <c r="I6" s="74"/>
      <c r="J6" s="94"/>
      <c r="K6" s="6"/>
      <c r="L6" s="70">
        <f>K8*M6</f>
        <v>2.5</v>
      </c>
      <c r="M6" s="27">
        <f>COUNTBLANK(C4:C8)/2</f>
        <v>2.5</v>
      </c>
      <c r="N6" s="6"/>
      <c r="O6" s="71">
        <f>2.5*(COUNTBLANK(N4:P4)-0.5)</f>
        <v>3.75</v>
      </c>
      <c r="P6" s="7"/>
      <c r="Q6" s="6"/>
      <c r="R6" s="6"/>
      <c r="S6" s="8" t="s">
        <v>4</v>
      </c>
      <c r="T6" s="6"/>
      <c r="U6" s="92"/>
      <c r="V6" s="36"/>
      <c r="X6" s="10" t="s">
        <v>10</v>
      </c>
    </row>
    <row r="7" spans="3:30" ht="18" customHeight="1" x14ac:dyDescent="0.25">
      <c r="C7" s="5"/>
      <c r="D7" s="6"/>
      <c r="E7" s="6" t="s">
        <v>7</v>
      </c>
      <c r="F7" s="80">
        <f>2*I4+2*C9</f>
        <v>15</v>
      </c>
      <c r="G7" s="81"/>
      <c r="H7" s="6"/>
      <c r="I7" s="74"/>
      <c r="J7" s="94"/>
      <c r="K7" s="6"/>
      <c r="L7" s="125">
        <f>2*M6+2*K8</f>
        <v>7</v>
      </c>
      <c r="M7" s="27"/>
      <c r="N7" s="6"/>
      <c r="O7" s="72">
        <f ca="1">O6+(COUNTBLANK(N4:P8)-0.5)</f>
        <v>0</v>
      </c>
      <c r="P7" s="7"/>
      <c r="Q7" s="6"/>
      <c r="R7" s="11" t="s">
        <v>1</v>
      </c>
      <c r="S7" s="80">
        <f>U4*Q9</f>
        <v>7.5</v>
      </c>
      <c r="T7" s="81"/>
      <c r="U7" s="92"/>
      <c r="V7" s="36"/>
      <c r="X7" s="3" t="s">
        <v>11</v>
      </c>
    </row>
    <row r="8" spans="3:30" ht="18" customHeight="1" thickBot="1" x14ac:dyDescent="0.3">
      <c r="C8" s="30"/>
      <c r="D8" s="31"/>
      <c r="E8" s="31"/>
      <c r="F8" s="31"/>
      <c r="G8" s="31"/>
      <c r="H8" s="31"/>
      <c r="I8" s="75"/>
      <c r="J8" s="95"/>
      <c r="K8" s="12">
        <f>COUNTBLANK(K4:M4)/2</f>
        <v>1</v>
      </c>
      <c r="L8" s="13" t="s">
        <v>7</v>
      </c>
      <c r="M8" s="14"/>
      <c r="N8" s="12"/>
      <c r="O8" s="13" t="s">
        <v>7</v>
      </c>
      <c r="P8" s="14"/>
      <c r="Q8" s="6"/>
      <c r="R8" s="6" t="s">
        <v>7</v>
      </c>
      <c r="S8" s="83"/>
      <c r="T8" s="84"/>
      <c r="U8" s="92"/>
      <c r="V8" s="36"/>
    </row>
    <row r="9" spans="3:30" ht="18" customHeight="1" thickTop="1" x14ac:dyDescent="0.25">
      <c r="C9" s="76">
        <f>COUNTBLANK(C19:J19)/2</f>
        <v>4</v>
      </c>
      <c r="D9" s="77"/>
      <c r="E9" s="77"/>
      <c r="F9" s="77"/>
      <c r="G9" s="77"/>
      <c r="H9" s="77"/>
      <c r="I9" s="6"/>
      <c r="J9" s="78"/>
      <c r="K9" s="96"/>
      <c r="L9" s="97"/>
      <c r="M9" s="97"/>
      <c r="N9" s="29"/>
      <c r="O9" s="97"/>
      <c r="P9" s="97"/>
      <c r="Q9" s="85">
        <f>COUNTBLANK(Q4:T4)/2</f>
        <v>1.5</v>
      </c>
      <c r="R9" s="86"/>
      <c r="S9" s="86"/>
      <c r="T9" s="86"/>
      <c r="U9" s="87"/>
      <c r="V9" s="37"/>
      <c r="X9" t="s">
        <v>12</v>
      </c>
    </row>
    <row r="10" spans="3:30" ht="18" customHeight="1" thickBot="1" x14ac:dyDescent="0.3">
      <c r="C10" s="15"/>
      <c r="D10" s="12"/>
      <c r="E10" s="12"/>
      <c r="F10" s="12"/>
      <c r="G10" s="12"/>
      <c r="H10" s="12"/>
      <c r="I10" s="12"/>
      <c r="J10" s="79"/>
      <c r="K10" s="98"/>
      <c r="L10" s="99"/>
      <c r="M10" s="99"/>
      <c r="N10" s="28"/>
      <c r="O10" s="97"/>
      <c r="P10" s="97"/>
      <c r="Q10" s="12"/>
      <c r="R10" s="12"/>
      <c r="S10" s="12"/>
      <c r="T10" s="12"/>
      <c r="U10" s="12"/>
      <c r="V10" s="38"/>
      <c r="X10" t="s">
        <v>13</v>
      </c>
    </row>
    <row r="11" spans="3:30" ht="18" customHeight="1" thickTop="1" x14ac:dyDescent="0.25">
      <c r="C11" s="5"/>
      <c r="D11" s="6"/>
      <c r="E11" s="6"/>
      <c r="F11" s="6"/>
      <c r="G11" s="6"/>
      <c r="H11" s="6"/>
      <c r="I11" s="89">
        <f>COUNTBLANK(U11:U19)/2</f>
        <v>4</v>
      </c>
      <c r="J11" s="39"/>
      <c r="K11" s="2"/>
      <c r="L11" s="6"/>
      <c r="M11" s="2"/>
      <c r="N11" s="26"/>
      <c r="O11" s="26"/>
      <c r="P11" s="26"/>
      <c r="Q11" s="6"/>
      <c r="R11" s="6"/>
      <c r="S11" s="6"/>
      <c r="T11" s="6"/>
      <c r="U11" s="124">
        <f>COUNTBLANK(C11:C19)/2</f>
        <v>3.5</v>
      </c>
      <c r="V11" s="7"/>
      <c r="AD11" s="69"/>
    </row>
    <row r="12" spans="3:30" ht="18" customHeight="1" x14ac:dyDescent="0.25">
      <c r="C12" s="5"/>
      <c r="D12" s="6"/>
      <c r="E12" s="6"/>
      <c r="F12" s="6"/>
      <c r="G12" s="6"/>
      <c r="H12" s="6"/>
      <c r="I12" s="90"/>
      <c r="J12" s="40"/>
      <c r="K12" s="26" t="s">
        <v>7</v>
      </c>
      <c r="L12" s="26"/>
      <c r="M12" s="6"/>
      <c r="N12" s="6"/>
      <c r="O12" s="6"/>
      <c r="P12" s="6"/>
      <c r="Q12" s="6"/>
      <c r="R12" s="6"/>
      <c r="S12" s="6"/>
      <c r="T12" s="6"/>
      <c r="U12" s="123"/>
      <c r="V12" s="7"/>
    </row>
    <row r="13" spans="3:30" ht="18" customHeight="1" x14ac:dyDescent="0.25">
      <c r="C13" s="5"/>
      <c r="D13" s="6"/>
      <c r="E13" s="6"/>
      <c r="F13" s="6"/>
      <c r="G13" s="6"/>
      <c r="H13" s="6"/>
      <c r="I13" s="90"/>
      <c r="J13" s="40"/>
      <c r="K13" s="26"/>
      <c r="L13" s="6"/>
      <c r="M13" s="6"/>
      <c r="N13" s="6"/>
      <c r="O13" s="6"/>
      <c r="P13" s="6"/>
      <c r="Q13" s="6"/>
      <c r="R13" s="6"/>
      <c r="S13" s="6"/>
      <c r="T13" s="6"/>
      <c r="U13" s="123"/>
      <c r="V13" s="7"/>
    </row>
    <row r="14" spans="3:30" ht="18" customHeight="1" x14ac:dyDescent="0.25">
      <c r="C14" s="5"/>
      <c r="D14" s="6"/>
      <c r="E14" s="6"/>
      <c r="F14" s="8" t="s">
        <v>5</v>
      </c>
      <c r="G14" s="6"/>
      <c r="H14" s="6"/>
      <c r="I14" s="90"/>
      <c r="J14" s="32"/>
      <c r="K14" s="6"/>
      <c r="L14" s="6"/>
      <c r="M14" s="6"/>
      <c r="N14" s="6"/>
      <c r="O14" s="6"/>
      <c r="P14" s="8" t="s">
        <v>6</v>
      </c>
      <c r="Q14" s="6"/>
      <c r="R14" s="6"/>
      <c r="S14" s="6"/>
      <c r="T14" s="6"/>
      <c r="U14" s="123"/>
      <c r="V14" s="7"/>
      <c r="AD14">
        <f>COUNTBLANK(C4:I8)</f>
        <v>28</v>
      </c>
    </row>
    <row r="15" spans="3:30" ht="18" customHeight="1" x14ac:dyDescent="0.25">
      <c r="C15" s="3" t="s">
        <v>8</v>
      </c>
      <c r="D15" s="6"/>
      <c r="E15" s="6"/>
      <c r="F15" s="6"/>
      <c r="G15" s="6"/>
      <c r="H15" s="6"/>
      <c r="I15" s="90"/>
      <c r="J15" s="32"/>
      <c r="K15" s="6"/>
      <c r="L15" s="6"/>
      <c r="M15" s="6"/>
      <c r="N15" s="6"/>
      <c r="O15" s="6"/>
      <c r="P15" s="6"/>
      <c r="Q15" s="6"/>
      <c r="R15" s="6"/>
      <c r="S15" s="6"/>
      <c r="T15" s="6"/>
      <c r="U15" s="123"/>
      <c r="V15" s="3" t="s">
        <v>8</v>
      </c>
    </row>
    <row r="16" spans="3:30" ht="18" customHeight="1" x14ac:dyDescent="0.25">
      <c r="C16" s="5"/>
      <c r="D16" s="6"/>
      <c r="E16" s="11" t="s">
        <v>1</v>
      </c>
      <c r="F16" s="80">
        <f>I11*C18</f>
        <v>16</v>
      </c>
      <c r="G16" s="81"/>
      <c r="H16" s="6"/>
      <c r="I16" s="90"/>
      <c r="J16" s="32"/>
      <c r="K16" s="6"/>
      <c r="L16" s="6"/>
      <c r="M16" s="6"/>
      <c r="N16" s="6"/>
      <c r="O16" s="11" t="s">
        <v>1</v>
      </c>
      <c r="P16" s="80">
        <f>U11*K18</f>
        <v>21</v>
      </c>
      <c r="Q16" s="81"/>
      <c r="R16" s="6"/>
      <c r="S16" s="6"/>
      <c r="T16" s="6"/>
      <c r="U16" s="123"/>
      <c r="V16" s="7"/>
    </row>
    <row r="17" spans="3:22" ht="18" customHeight="1" x14ac:dyDescent="0.25">
      <c r="C17" s="5"/>
      <c r="D17" s="6"/>
      <c r="E17" s="6" t="s">
        <v>7</v>
      </c>
      <c r="F17" s="83">
        <f>2*C18+2*I11</f>
        <v>16</v>
      </c>
      <c r="G17" s="84"/>
      <c r="H17" s="6"/>
      <c r="I17" s="90"/>
      <c r="J17" s="32"/>
      <c r="K17" s="6"/>
      <c r="L17" s="6"/>
      <c r="M17" s="6"/>
      <c r="N17" s="6"/>
      <c r="O17" s="6" t="s">
        <v>7</v>
      </c>
      <c r="P17" s="83">
        <f>2*K18+2*U11</f>
        <v>19</v>
      </c>
      <c r="Q17" s="84"/>
      <c r="R17" s="6"/>
      <c r="S17" s="6"/>
      <c r="T17" s="6"/>
      <c r="U17" s="123"/>
      <c r="V17" s="7"/>
    </row>
    <row r="18" spans="3:22" ht="18" customHeight="1" x14ac:dyDescent="0.25">
      <c r="C18" s="85">
        <f>COUNTBLANK(C19:J19)/2</f>
        <v>4</v>
      </c>
      <c r="D18" s="86"/>
      <c r="E18" s="86"/>
      <c r="F18" s="86"/>
      <c r="G18" s="86"/>
      <c r="H18" s="86"/>
      <c r="I18" s="88"/>
      <c r="J18" s="34"/>
      <c r="K18" s="121">
        <f>COUNTBLANK(K19:V19)/2</f>
        <v>6</v>
      </c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122"/>
    </row>
    <row r="19" spans="3:22" ht="18" customHeight="1" thickBot="1" x14ac:dyDescent="0.3">
      <c r="C19" s="15"/>
      <c r="D19" s="12"/>
      <c r="E19" s="12"/>
      <c r="F19" s="12"/>
      <c r="G19" s="12"/>
      <c r="H19" s="12"/>
      <c r="I19" s="12"/>
      <c r="J19" s="33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</row>
    <row r="20" spans="3:22" ht="18" customHeight="1" thickTop="1" x14ac:dyDescent="0.25"/>
    <row r="21" spans="3:22" ht="18" customHeight="1" x14ac:dyDescent="0.25"/>
    <row r="22" spans="3:22" ht="18" customHeight="1" x14ac:dyDescent="0.25"/>
    <row r="23" spans="3:22" ht="18" customHeight="1" x14ac:dyDescent="0.25"/>
    <row r="24" spans="3:22" ht="18" customHeight="1" x14ac:dyDescent="0.25"/>
    <row r="25" spans="3:22" ht="18" customHeight="1" x14ac:dyDescent="0.25"/>
    <row r="26" spans="3:22" ht="18" customHeight="1" x14ac:dyDescent="0.25"/>
    <row r="27" spans="3:22" ht="18" customHeight="1" x14ac:dyDescent="0.25"/>
    <row r="28" spans="3:22" ht="18" customHeight="1" x14ac:dyDescent="0.25"/>
    <row r="29" spans="3:22" ht="18" customHeight="1" x14ac:dyDescent="0.25"/>
    <row r="30" spans="3:22" ht="18" customHeight="1" x14ac:dyDescent="0.25"/>
    <row r="31" spans="3:22" ht="18" customHeight="1" x14ac:dyDescent="0.25"/>
  </sheetData>
  <mergeCells count="20">
    <mergeCell ref="K9:M10"/>
    <mergeCell ref="O9:P10"/>
    <mergeCell ref="F7:G7"/>
    <mergeCell ref="K18:V18"/>
    <mergeCell ref="U11:U17"/>
    <mergeCell ref="I4:I8"/>
    <mergeCell ref="C9:H9"/>
    <mergeCell ref="J9:J10"/>
    <mergeCell ref="S7:T7"/>
    <mergeCell ref="S8:T8"/>
    <mergeCell ref="P17:Q17"/>
    <mergeCell ref="F17:G17"/>
    <mergeCell ref="Q9:U9"/>
    <mergeCell ref="C18:I18"/>
    <mergeCell ref="F16:G16"/>
    <mergeCell ref="P16:Q16"/>
    <mergeCell ref="I11:I17"/>
    <mergeCell ref="U4:U8"/>
    <mergeCell ref="F6:G6"/>
    <mergeCell ref="J4:J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A3" sqref="A3"/>
    </sheetView>
  </sheetViews>
  <sheetFormatPr defaultRowHeight="15" x14ac:dyDescent="0.25"/>
  <cols>
    <col min="1" max="1" width="25.7109375" customWidth="1"/>
    <col min="2" max="2" width="20.7109375" customWidth="1"/>
    <col min="3" max="3" width="50.7109375" customWidth="1"/>
    <col min="4" max="4" width="18.7109375" customWidth="1"/>
    <col min="5" max="6" width="18.7109375" hidden="1" customWidth="1"/>
  </cols>
  <sheetData>
    <row r="1" spans="1:6" ht="30" x14ac:dyDescent="0.25">
      <c r="A1" s="16" t="s">
        <v>17</v>
      </c>
      <c r="B1" s="16" t="s">
        <v>14</v>
      </c>
      <c r="C1" s="16" t="s">
        <v>18</v>
      </c>
      <c r="D1" s="16" t="s">
        <v>19</v>
      </c>
      <c r="E1" s="16" t="s">
        <v>20</v>
      </c>
      <c r="F1" s="16" t="s">
        <v>21</v>
      </c>
    </row>
    <row r="2" spans="1:6" ht="33" customHeight="1" x14ac:dyDescent="0.25">
      <c r="A2" s="17" t="s">
        <v>15</v>
      </c>
      <c r="B2" s="17" t="s">
        <v>22</v>
      </c>
      <c r="C2" s="18" t="s">
        <v>23</v>
      </c>
      <c r="D2" s="19">
        <v>145</v>
      </c>
      <c r="E2" s="20"/>
      <c r="F2" s="20"/>
    </row>
    <row r="3" spans="1:6" ht="33" customHeight="1" x14ac:dyDescent="0.25">
      <c r="A3" s="17" t="s">
        <v>24</v>
      </c>
      <c r="B3" s="17" t="s">
        <v>25</v>
      </c>
      <c r="C3" s="18" t="s">
        <v>26</v>
      </c>
      <c r="D3" s="19">
        <v>85</v>
      </c>
      <c r="E3" s="20"/>
      <c r="F3" s="20"/>
    </row>
    <row r="4" spans="1:6" ht="33" customHeight="1" x14ac:dyDescent="0.25">
      <c r="A4" s="17" t="s">
        <v>27</v>
      </c>
      <c r="B4" s="17" t="s">
        <v>28</v>
      </c>
      <c r="C4" s="18" t="s">
        <v>29</v>
      </c>
      <c r="D4" s="19">
        <v>350</v>
      </c>
      <c r="E4" s="20"/>
      <c r="F4" s="20"/>
    </row>
    <row r="5" spans="1:6" ht="33" customHeight="1" x14ac:dyDescent="0.25">
      <c r="A5" s="17" t="s">
        <v>30</v>
      </c>
      <c r="B5" s="17" t="s">
        <v>31</v>
      </c>
      <c r="C5" s="18" t="s">
        <v>32</v>
      </c>
      <c r="D5" s="19">
        <v>95</v>
      </c>
      <c r="E5" s="20"/>
      <c r="F5" s="20"/>
    </row>
    <row r="6" spans="1:6" ht="33" customHeight="1" x14ac:dyDescent="0.25">
      <c r="A6" s="17" t="s">
        <v>33</v>
      </c>
      <c r="B6" s="17" t="s">
        <v>34</v>
      </c>
      <c r="C6" s="18" t="s">
        <v>35</v>
      </c>
      <c r="D6" s="19">
        <v>35</v>
      </c>
      <c r="E6" s="20"/>
      <c r="F6" s="20"/>
    </row>
    <row r="7" spans="1:6" ht="33" customHeight="1" x14ac:dyDescent="0.25">
      <c r="A7" s="17" t="s">
        <v>36</v>
      </c>
      <c r="B7" s="17" t="s">
        <v>34</v>
      </c>
      <c r="C7" s="18" t="s">
        <v>37</v>
      </c>
      <c r="D7" s="19">
        <v>18</v>
      </c>
      <c r="E7" s="20"/>
      <c r="F7" s="20"/>
    </row>
    <row r="8" spans="1:6" ht="33" customHeight="1" x14ac:dyDescent="0.25">
      <c r="A8" s="17" t="s">
        <v>38</v>
      </c>
      <c r="B8" s="17" t="s">
        <v>39</v>
      </c>
      <c r="C8" s="18" t="s">
        <v>40</v>
      </c>
      <c r="D8" s="19">
        <v>45</v>
      </c>
      <c r="E8" s="20"/>
      <c r="F8" s="20"/>
    </row>
    <row r="11" spans="1:6" ht="15.75" x14ac:dyDescent="0.25">
      <c r="A11" s="21" t="s">
        <v>16</v>
      </c>
    </row>
    <row r="12" spans="1:6" x14ac:dyDescent="0.25">
      <c r="A1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68"/>
  <sheetViews>
    <sheetView topLeftCell="A12" zoomScaleNormal="100" workbookViewId="0">
      <selection activeCell="F6" sqref="F6"/>
    </sheetView>
  </sheetViews>
  <sheetFormatPr defaultRowHeight="15" x14ac:dyDescent="0.25"/>
  <cols>
    <col min="1" max="1" width="5.42578125" customWidth="1"/>
    <col min="2" max="2" width="5.140625" bestFit="1" customWidth="1"/>
    <col min="3" max="3" width="23" bestFit="1" customWidth="1"/>
    <col min="4" max="4" width="24.5703125" bestFit="1" customWidth="1"/>
    <col min="5" max="5" width="15.7109375" customWidth="1"/>
    <col min="6" max="7" width="18.7109375" customWidth="1"/>
    <col min="8" max="8" width="16.42578125" bestFit="1" customWidth="1"/>
    <col min="9" max="9" width="7.7109375" customWidth="1"/>
    <col min="12" max="12" width="24.5703125" bestFit="1" customWidth="1"/>
    <col min="13" max="13" width="2.85546875" bestFit="1" customWidth="1"/>
    <col min="14" max="14" width="6" bestFit="1" customWidth="1"/>
    <col min="16" max="16" width="10.7109375" bestFit="1" customWidth="1"/>
  </cols>
  <sheetData>
    <row r="1" spans="2:8" ht="15" customHeight="1" x14ac:dyDescent="0.25">
      <c r="B1" s="112" t="s">
        <v>42</v>
      </c>
      <c r="C1" s="112"/>
      <c r="D1" s="112"/>
      <c r="E1" s="112"/>
      <c r="F1" s="112"/>
      <c r="G1" s="112"/>
      <c r="H1" s="112"/>
    </row>
    <row r="2" spans="2:8" ht="15" customHeight="1" x14ac:dyDescent="0.25">
      <c r="B2" s="112"/>
      <c r="C2" s="112"/>
      <c r="D2" s="112"/>
      <c r="E2" s="112"/>
      <c r="F2" s="112"/>
      <c r="G2" s="112"/>
      <c r="H2" s="112"/>
    </row>
    <row r="4" spans="2:8" ht="15.75" thickBot="1" x14ac:dyDescent="0.3">
      <c r="B4" s="66" t="s">
        <v>43</v>
      </c>
      <c r="C4" s="66" t="s">
        <v>44</v>
      </c>
      <c r="D4" s="66" t="s">
        <v>45</v>
      </c>
      <c r="E4" s="66" t="s">
        <v>46</v>
      </c>
      <c r="F4" s="66" t="s">
        <v>47</v>
      </c>
      <c r="G4" s="66" t="s">
        <v>48</v>
      </c>
      <c r="H4" s="66" t="s">
        <v>49</v>
      </c>
    </row>
    <row r="5" spans="2:8" ht="15.75" x14ac:dyDescent="0.25">
      <c r="B5" s="113" t="s">
        <v>50</v>
      </c>
      <c r="C5" s="114"/>
      <c r="D5" s="114"/>
      <c r="E5" s="114"/>
      <c r="F5" s="114"/>
      <c r="G5" s="114"/>
      <c r="H5" s="115"/>
    </row>
    <row r="6" spans="2:8" x14ac:dyDescent="0.25">
      <c r="B6" s="64">
        <v>1</v>
      </c>
      <c r="C6" s="23" t="s">
        <v>0</v>
      </c>
      <c r="D6" s="23" t="s">
        <v>15</v>
      </c>
      <c r="E6" s="22" t="s">
        <v>51</v>
      </c>
      <c r="F6" s="24"/>
      <c r="G6" s="25"/>
      <c r="H6" s="47"/>
    </row>
    <row r="7" spans="2:8" x14ac:dyDescent="0.25">
      <c r="B7" s="64">
        <v>2</v>
      </c>
      <c r="C7" s="23" t="s">
        <v>0</v>
      </c>
      <c r="D7" s="23" t="s">
        <v>52</v>
      </c>
      <c r="E7" s="22" t="s">
        <v>53</v>
      </c>
      <c r="F7" s="24"/>
      <c r="G7" s="25"/>
      <c r="H7" s="47"/>
    </row>
    <row r="8" spans="2:8" x14ac:dyDescent="0.25">
      <c r="B8" s="64">
        <v>3</v>
      </c>
      <c r="C8" s="23" t="s">
        <v>0</v>
      </c>
      <c r="D8" s="23" t="s">
        <v>27</v>
      </c>
      <c r="E8" s="22" t="s">
        <v>55</v>
      </c>
      <c r="F8" s="24"/>
      <c r="G8" s="25"/>
      <c r="H8" s="47"/>
    </row>
    <row r="9" spans="2:8" x14ac:dyDescent="0.25">
      <c r="B9" s="64">
        <v>4</v>
      </c>
      <c r="C9" s="23" t="s">
        <v>0</v>
      </c>
      <c r="D9" s="23" t="s">
        <v>33</v>
      </c>
      <c r="E9" s="22" t="s">
        <v>57</v>
      </c>
      <c r="F9" s="24"/>
      <c r="G9" s="25"/>
      <c r="H9" s="47"/>
    </row>
    <row r="10" spans="2:8" ht="15.75" thickBot="1" x14ac:dyDescent="0.3">
      <c r="B10" s="116" t="s">
        <v>59</v>
      </c>
      <c r="C10" s="117"/>
      <c r="D10" s="117"/>
      <c r="E10" s="117"/>
      <c r="F10" s="117"/>
      <c r="G10" s="117"/>
      <c r="H10" s="65"/>
    </row>
    <row r="11" spans="2:8" ht="15.75" x14ac:dyDescent="0.25">
      <c r="B11" s="113" t="s">
        <v>60</v>
      </c>
      <c r="C11" s="114"/>
      <c r="D11" s="114"/>
      <c r="E11" s="114"/>
      <c r="F11" s="114"/>
      <c r="G11" s="114"/>
      <c r="H11" s="115"/>
    </row>
    <row r="12" spans="2:8" x14ac:dyDescent="0.25">
      <c r="B12" s="64">
        <v>1</v>
      </c>
      <c r="C12" s="23" t="s">
        <v>54</v>
      </c>
      <c r="D12" s="23" t="s">
        <v>24</v>
      </c>
      <c r="E12" s="22" t="s">
        <v>51</v>
      </c>
      <c r="F12" s="24"/>
      <c r="G12" s="25"/>
      <c r="H12" s="47"/>
    </row>
    <row r="13" spans="2:8" x14ac:dyDescent="0.25">
      <c r="B13" s="64">
        <v>2</v>
      </c>
      <c r="C13" s="23" t="s">
        <v>54</v>
      </c>
      <c r="D13" s="23" t="s">
        <v>61</v>
      </c>
      <c r="E13" s="22" t="s">
        <v>51</v>
      </c>
      <c r="F13" s="24"/>
      <c r="G13" s="25"/>
      <c r="H13" s="47"/>
    </row>
    <row r="14" spans="2:8" x14ac:dyDescent="0.25">
      <c r="B14" s="64">
        <v>3</v>
      </c>
      <c r="C14" s="23" t="s">
        <v>54</v>
      </c>
      <c r="D14" s="23" t="s">
        <v>62</v>
      </c>
      <c r="E14" s="22" t="s">
        <v>63</v>
      </c>
      <c r="F14" s="24"/>
      <c r="G14" s="25"/>
      <c r="H14" s="47"/>
    </row>
    <row r="15" spans="2:8" x14ac:dyDescent="0.25">
      <c r="B15" s="64">
        <v>4</v>
      </c>
      <c r="C15" s="23" t="s">
        <v>54</v>
      </c>
      <c r="D15" s="23" t="s">
        <v>33</v>
      </c>
      <c r="E15" s="22" t="s">
        <v>57</v>
      </c>
      <c r="F15" s="24"/>
      <c r="G15" s="25"/>
      <c r="H15" s="47"/>
    </row>
    <row r="16" spans="2:8" ht="15.75" thickBot="1" x14ac:dyDescent="0.3">
      <c r="B16" s="116" t="s">
        <v>64</v>
      </c>
      <c r="C16" s="117"/>
      <c r="D16" s="117"/>
      <c r="E16" s="117"/>
      <c r="F16" s="117"/>
      <c r="G16" s="117"/>
      <c r="H16" s="65"/>
    </row>
    <row r="17" spans="2:8" ht="15.75" x14ac:dyDescent="0.25">
      <c r="B17" s="113" t="s">
        <v>71</v>
      </c>
      <c r="C17" s="114"/>
      <c r="D17" s="114"/>
      <c r="E17" s="114"/>
      <c r="F17" s="114"/>
      <c r="G17" s="114"/>
      <c r="H17" s="115"/>
    </row>
    <row r="18" spans="2:8" x14ac:dyDescent="0.25">
      <c r="B18" s="64">
        <v>1</v>
      </c>
      <c r="C18" s="23" t="s">
        <v>56</v>
      </c>
      <c r="D18" s="23" t="s">
        <v>15</v>
      </c>
      <c r="E18" s="22" t="s">
        <v>51</v>
      </c>
      <c r="F18" s="24"/>
      <c r="G18" s="25"/>
      <c r="H18" s="47"/>
    </row>
    <row r="19" spans="2:8" x14ac:dyDescent="0.25">
      <c r="B19" s="64">
        <v>2</v>
      </c>
      <c r="C19" s="23" t="s">
        <v>56</v>
      </c>
      <c r="D19" s="23" t="s">
        <v>52</v>
      </c>
      <c r="E19" s="22" t="s">
        <v>53</v>
      </c>
      <c r="F19" s="24"/>
      <c r="G19" s="25"/>
      <c r="H19" s="47"/>
    </row>
    <row r="20" spans="2:8" x14ac:dyDescent="0.25">
      <c r="B20" s="64">
        <v>3</v>
      </c>
      <c r="C20" s="23" t="s">
        <v>56</v>
      </c>
      <c r="D20" s="23" t="s">
        <v>27</v>
      </c>
      <c r="E20" s="22" t="s">
        <v>55</v>
      </c>
      <c r="F20" s="24"/>
      <c r="G20" s="25"/>
      <c r="H20" s="47"/>
    </row>
    <row r="21" spans="2:8" x14ac:dyDescent="0.25">
      <c r="B21" s="64">
        <v>4</v>
      </c>
      <c r="C21" s="23" t="s">
        <v>74</v>
      </c>
      <c r="D21" s="23" t="s">
        <v>33</v>
      </c>
      <c r="E21" s="22" t="s">
        <v>57</v>
      </c>
      <c r="F21" s="24"/>
      <c r="G21" s="25"/>
      <c r="H21" s="47"/>
    </row>
    <row r="22" spans="2:8" ht="15.75" thickBot="1" x14ac:dyDescent="0.3">
      <c r="B22" s="116" t="s">
        <v>65</v>
      </c>
      <c r="C22" s="117"/>
      <c r="D22" s="117"/>
      <c r="E22" s="117"/>
      <c r="F22" s="117"/>
      <c r="G22" s="117"/>
      <c r="H22" s="65"/>
    </row>
    <row r="23" spans="2:8" ht="15.75" x14ac:dyDescent="0.25">
      <c r="B23" s="118" t="s">
        <v>66</v>
      </c>
      <c r="C23" s="119"/>
      <c r="D23" s="119"/>
      <c r="E23" s="119"/>
      <c r="F23" s="119"/>
      <c r="G23" s="119"/>
      <c r="H23" s="120"/>
    </row>
    <row r="24" spans="2:8" x14ac:dyDescent="0.25">
      <c r="B24" s="64">
        <v>1</v>
      </c>
      <c r="C24" s="23" t="s">
        <v>58</v>
      </c>
      <c r="D24" s="23" t="s">
        <v>15</v>
      </c>
      <c r="E24" s="22" t="s">
        <v>51</v>
      </c>
      <c r="F24" s="24"/>
      <c r="G24" s="25"/>
      <c r="H24" s="47"/>
    </row>
    <row r="25" spans="2:8" x14ac:dyDescent="0.25">
      <c r="B25" s="64">
        <v>2</v>
      </c>
      <c r="C25" s="23" t="s">
        <v>58</v>
      </c>
      <c r="D25" s="23" t="s">
        <v>52</v>
      </c>
      <c r="E25" s="22" t="s">
        <v>53</v>
      </c>
      <c r="F25" s="24"/>
      <c r="G25" s="25"/>
      <c r="H25" s="47"/>
    </row>
    <row r="26" spans="2:8" x14ac:dyDescent="0.25">
      <c r="B26" s="64">
        <v>3</v>
      </c>
      <c r="C26" s="23" t="s">
        <v>58</v>
      </c>
      <c r="D26" s="23" t="s">
        <v>27</v>
      </c>
      <c r="E26" s="22" t="s">
        <v>55</v>
      </c>
      <c r="F26" s="24"/>
      <c r="G26" s="25"/>
      <c r="H26" s="47"/>
    </row>
    <row r="27" spans="2:8" x14ac:dyDescent="0.25">
      <c r="B27" s="64">
        <v>4</v>
      </c>
      <c r="C27" s="23" t="s">
        <v>58</v>
      </c>
      <c r="D27" s="23" t="s">
        <v>33</v>
      </c>
      <c r="E27" s="22" t="s">
        <v>57</v>
      </c>
      <c r="F27" s="24"/>
      <c r="G27" s="25"/>
      <c r="H27" s="47"/>
    </row>
    <row r="28" spans="2:8" ht="15.75" thickBot="1" x14ac:dyDescent="0.3">
      <c r="B28" s="116" t="s">
        <v>67</v>
      </c>
      <c r="C28" s="117"/>
      <c r="D28" s="117"/>
      <c r="E28" s="117"/>
      <c r="F28" s="117"/>
      <c r="G28" s="117"/>
      <c r="H28" s="65"/>
    </row>
    <row r="29" spans="2:8" ht="15.75" x14ac:dyDescent="0.25">
      <c r="B29" s="118" t="s">
        <v>68</v>
      </c>
      <c r="C29" s="119"/>
      <c r="D29" s="119"/>
      <c r="E29" s="119"/>
      <c r="F29" s="119"/>
      <c r="G29" s="119"/>
      <c r="H29" s="120"/>
    </row>
    <row r="30" spans="2:8" x14ac:dyDescent="0.25">
      <c r="B30" s="64">
        <v>1</v>
      </c>
      <c r="C30" s="23" t="s">
        <v>5</v>
      </c>
      <c r="D30" s="23" t="s">
        <v>24</v>
      </c>
      <c r="E30" s="22" t="s">
        <v>51</v>
      </c>
      <c r="F30" s="24"/>
      <c r="G30" s="25"/>
      <c r="H30" s="47"/>
    </row>
    <row r="31" spans="2:8" x14ac:dyDescent="0.25">
      <c r="B31" s="64">
        <v>2</v>
      </c>
      <c r="C31" s="23" t="s">
        <v>5</v>
      </c>
      <c r="D31" s="23" t="s">
        <v>61</v>
      </c>
      <c r="E31" s="22" t="s">
        <v>51</v>
      </c>
      <c r="F31" s="24"/>
      <c r="G31" s="25"/>
      <c r="H31" s="47"/>
    </row>
    <row r="32" spans="2:8" x14ac:dyDescent="0.25">
      <c r="B32" s="64">
        <v>4</v>
      </c>
      <c r="C32" s="23" t="s">
        <v>5</v>
      </c>
      <c r="D32" s="23" t="s">
        <v>33</v>
      </c>
      <c r="E32" s="22" t="s">
        <v>57</v>
      </c>
      <c r="F32" s="24"/>
      <c r="G32" s="25"/>
      <c r="H32" s="47"/>
    </row>
    <row r="33" spans="2:12" ht="15.75" thickBot="1" x14ac:dyDescent="0.3">
      <c r="B33" s="116" t="s">
        <v>69</v>
      </c>
      <c r="C33" s="117"/>
      <c r="D33" s="117"/>
      <c r="E33" s="117"/>
      <c r="F33" s="117"/>
      <c r="G33" s="117"/>
      <c r="H33" s="65"/>
    </row>
    <row r="34" spans="2:12" ht="19.5" thickBot="1" x14ac:dyDescent="0.35">
      <c r="B34" s="100" t="s">
        <v>70</v>
      </c>
      <c r="C34" s="100"/>
      <c r="D34" s="100"/>
      <c r="E34" s="100"/>
      <c r="F34" s="100"/>
      <c r="G34" s="100"/>
      <c r="H34" s="63"/>
    </row>
    <row r="35" spans="2:12" x14ac:dyDescent="0.25">
      <c r="B35" s="107"/>
      <c r="C35" s="107"/>
      <c r="D35" s="107"/>
      <c r="E35" s="107"/>
      <c r="F35" s="107"/>
      <c r="G35" s="107"/>
      <c r="H35" s="107"/>
    </row>
    <row r="36" spans="2:12" ht="15.75" thickBot="1" x14ac:dyDescent="0.3">
      <c r="B36" s="67"/>
      <c r="C36" s="67"/>
      <c r="D36" s="67"/>
      <c r="E36" s="67"/>
      <c r="F36" s="67"/>
      <c r="G36" s="67"/>
      <c r="H36" s="67"/>
    </row>
    <row r="37" spans="2:12" ht="16.5" thickBot="1" x14ac:dyDescent="0.3">
      <c r="B37" s="108" t="s">
        <v>72</v>
      </c>
      <c r="C37" s="109"/>
      <c r="D37" s="109"/>
      <c r="E37" s="109"/>
      <c r="F37" s="109"/>
      <c r="G37" s="109"/>
      <c r="H37" s="110"/>
    </row>
    <row r="38" spans="2:12" x14ac:dyDescent="0.25">
      <c r="B38" s="101" t="s">
        <v>73</v>
      </c>
      <c r="C38" s="102"/>
      <c r="D38" s="42" t="s">
        <v>15</v>
      </c>
      <c r="E38" s="43" t="s">
        <v>51</v>
      </c>
      <c r="F38" s="44"/>
      <c r="G38" s="45">
        <v>145</v>
      </c>
      <c r="H38" s="46"/>
    </row>
    <row r="39" spans="2:12" x14ac:dyDescent="0.25">
      <c r="B39" s="103"/>
      <c r="C39" s="104"/>
      <c r="D39" s="41" t="s">
        <v>52</v>
      </c>
      <c r="E39" s="22" t="s">
        <v>53</v>
      </c>
      <c r="F39" s="24"/>
      <c r="G39" s="25">
        <v>45</v>
      </c>
      <c r="H39" s="47"/>
    </row>
    <row r="40" spans="2:12" x14ac:dyDescent="0.25">
      <c r="B40" s="103"/>
      <c r="C40" s="104"/>
      <c r="D40" s="41" t="s">
        <v>27</v>
      </c>
      <c r="E40" s="22" t="s">
        <v>55</v>
      </c>
      <c r="F40" s="24"/>
      <c r="G40" s="25">
        <v>350</v>
      </c>
      <c r="H40" s="47"/>
    </row>
    <row r="41" spans="2:12" x14ac:dyDescent="0.25">
      <c r="B41" s="103"/>
      <c r="C41" s="104"/>
      <c r="D41" s="41" t="s">
        <v>33</v>
      </c>
      <c r="E41" s="22" t="s">
        <v>57</v>
      </c>
      <c r="F41" s="24"/>
      <c r="G41" s="25">
        <v>35</v>
      </c>
      <c r="H41" s="47"/>
    </row>
    <row r="42" spans="2:12" x14ac:dyDescent="0.25">
      <c r="B42" s="103"/>
      <c r="C42" s="104"/>
      <c r="D42" s="41" t="s">
        <v>24</v>
      </c>
      <c r="E42" s="22" t="s">
        <v>51</v>
      </c>
      <c r="F42" s="24"/>
      <c r="G42" s="25">
        <v>85</v>
      </c>
      <c r="H42" s="47"/>
    </row>
    <row r="43" spans="2:12" x14ac:dyDescent="0.25">
      <c r="B43" s="103"/>
      <c r="C43" s="104"/>
      <c r="D43" s="41" t="s">
        <v>61</v>
      </c>
      <c r="E43" s="22" t="s">
        <v>51</v>
      </c>
      <c r="F43" s="24"/>
      <c r="G43" s="25">
        <v>85</v>
      </c>
      <c r="H43" s="47"/>
    </row>
    <row r="44" spans="2:12" ht="15.75" thickBot="1" x14ac:dyDescent="0.3">
      <c r="B44" s="105"/>
      <c r="C44" s="106"/>
      <c r="D44" s="48" t="s">
        <v>62</v>
      </c>
      <c r="E44" s="49" t="s">
        <v>63</v>
      </c>
      <c r="F44" s="50"/>
      <c r="G44" s="51">
        <v>95</v>
      </c>
      <c r="H44" s="52"/>
    </row>
    <row r="45" spans="2:12" ht="19.5" thickBot="1" x14ac:dyDescent="0.35">
      <c r="B45" s="58"/>
      <c r="C45" s="59"/>
      <c r="D45" s="60"/>
      <c r="E45" s="61"/>
      <c r="F45" s="111" t="s">
        <v>75</v>
      </c>
      <c r="G45" s="111"/>
      <c r="H45" s="62"/>
    </row>
    <row r="46" spans="2:12" x14ac:dyDescent="0.25">
      <c r="B46" s="53"/>
      <c r="C46" s="53"/>
      <c r="D46" s="54"/>
      <c r="E46" s="55"/>
      <c r="F46" s="55"/>
      <c r="G46" s="56"/>
      <c r="H46" s="56"/>
    </row>
    <row r="47" spans="2:12" x14ac:dyDescent="0.25">
      <c r="J47" s="56"/>
      <c r="L47" s="57"/>
    </row>
    <row r="49" spans="8:12" x14ac:dyDescent="0.25">
      <c r="H49" s="56"/>
      <c r="L49" s="57"/>
    </row>
    <row r="50" spans="8:12" x14ac:dyDescent="0.25">
      <c r="L50" s="57"/>
    </row>
    <row r="51" spans="8:12" x14ac:dyDescent="0.25">
      <c r="L51" s="57"/>
    </row>
    <row r="68" spans="3:6" x14ac:dyDescent="0.25">
      <c r="C68" s="68" t="s">
        <v>76</v>
      </c>
      <c r="D68" s="68"/>
      <c r="E68" s="68"/>
      <c r="F68" s="68"/>
    </row>
  </sheetData>
  <mergeCells count="16">
    <mergeCell ref="B33:G33"/>
    <mergeCell ref="B17:H17"/>
    <mergeCell ref="B22:G22"/>
    <mergeCell ref="B23:H23"/>
    <mergeCell ref="B28:G28"/>
    <mergeCell ref="B29:H29"/>
    <mergeCell ref="B1:H2"/>
    <mergeCell ref="B5:H5"/>
    <mergeCell ref="B10:G10"/>
    <mergeCell ref="B11:H11"/>
    <mergeCell ref="B16:G16"/>
    <mergeCell ref="B34:G34"/>
    <mergeCell ref="B38:C44"/>
    <mergeCell ref="B35:H35"/>
    <mergeCell ref="B37:H37"/>
    <mergeCell ref="F45:G45"/>
  </mergeCells>
  <phoneticPr fontId="16" type="noConversion"/>
  <printOptions horizontalCentered="1"/>
  <pageMargins left="0.70866141732283472" right="0.62992125984251968" top="0.74803149606299213" bottom="0.35433070866141736" header="0.31496062992125984" footer="0.31496062992125984"/>
  <pageSetup paperSize="9" orientation="landscape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670B37555EB846B4AA62FD9B7A573F" ma:contentTypeVersion="3" ma:contentTypeDescription="Crie um novo documento." ma:contentTypeScope="" ma:versionID="2ecc99f7b795a5c4bd6ee8a5d60b653b">
  <xsd:schema xmlns:xsd="http://www.w3.org/2001/XMLSchema" xmlns:xs="http://www.w3.org/2001/XMLSchema" xmlns:p="http://schemas.microsoft.com/office/2006/metadata/properties" xmlns:ns2="25bcc072-65f8-49f8-b339-59a0d230746b" targetNamespace="http://schemas.microsoft.com/office/2006/metadata/properties" ma:root="true" ma:fieldsID="227baf07e1652591fc4d22d7c179d8b2" ns2:_="">
    <xsd:import namespace="25bcc072-65f8-49f8-b339-59a0d23074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c072-65f8-49f8-b339-59a0d23074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D22281-1861-4188-A65B-1453AAFD67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2BC6952-B82A-48AC-B405-74D3072F00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7E929B-147A-4B9A-B323-03E0B58579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bcc072-65f8-49f8-b339-59a0d23074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10</vt:i4>
      </vt:variant>
    </vt:vector>
  </HeadingPairs>
  <TitlesOfParts>
    <vt:vector size="13" baseType="lpstr">
      <vt:lpstr>1 - Planta</vt:lpstr>
      <vt:lpstr>2 - Guia</vt:lpstr>
      <vt:lpstr>3 - Orçamento</vt:lpstr>
      <vt:lpstr>AREACOZINHA</vt:lpstr>
      <vt:lpstr>AREAQUARTO</vt:lpstr>
      <vt:lpstr>AREASALAESTAR</vt:lpstr>
      <vt:lpstr>AREASUITEMASTER</vt:lpstr>
      <vt:lpstr>AREAWC</vt:lpstr>
      <vt:lpstr>PERIMCOSINHA</vt:lpstr>
      <vt:lpstr>PERIMETROSALA</vt:lpstr>
      <vt:lpstr>PERIMQUARTO</vt:lpstr>
      <vt:lpstr>PERIMWC</vt:lpstr>
      <vt:lpstr>PSUITEMASTER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Lab5</cp:lastModifiedBy>
  <cp:lastPrinted>2026-04-04T03:29:53Z</cp:lastPrinted>
  <dcterms:created xsi:type="dcterms:W3CDTF">2026-03-26T20:09:25Z</dcterms:created>
  <dcterms:modified xsi:type="dcterms:W3CDTF">2026-09-30T01:18:10Z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0x010100D4670B37555EB846B4AA62FD9B7A573F</vt:lpwstr>
  </property>
</Properties>
</file>